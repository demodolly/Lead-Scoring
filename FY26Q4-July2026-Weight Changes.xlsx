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henery\Downloads\"/>
    </mc:Choice>
  </mc:AlternateContent>
  <xr:revisionPtr revIDLastSave="0" documentId="8_{AD6D58FC-9A9A-4983-B38F-B44F57A9322A}" xr6:coauthVersionLast="47" xr6:coauthVersionMax="47" xr10:uidLastSave="{00000000-0000-0000-0000-000000000000}"/>
  <bookViews>
    <workbookView xWindow="-98" yWindow="-98" windowWidth="21795" windowHeight="12975" xr2:uid="{3C37C103-B97C-4FC5-9A79-3434420EAB1F}"/>
  </bookViews>
  <sheets>
    <sheet name="Engagement" sheetId="1" r:id="rId1"/>
    <sheet name="Profile" sheetId="2" r:id="rId2"/>
  </sheets>
  <definedNames>
    <definedName name="_xlnm._FilterDatabase" localSheetId="0" hidden="1">Engagement!$A$1:$S$80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0" i="1" l="1"/>
  <c r="A71" i="1" s="1"/>
  <c r="A72" i="1" s="1"/>
  <c r="A73" i="1" s="1"/>
  <c r="A74" i="1" s="1"/>
  <c r="A76" i="1"/>
  <c r="A77" i="1"/>
  <c r="A78" i="1"/>
  <c r="A79" i="1"/>
  <c r="A80" i="1"/>
  <c r="G70" i="1"/>
  <c r="G71" i="1"/>
  <c r="G72" i="1"/>
  <c r="G73" i="1"/>
  <c r="G74" i="1"/>
  <c r="G69" i="1"/>
  <c r="G76" i="1"/>
  <c r="G77" i="1"/>
  <c r="G78" i="1"/>
  <c r="G79" i="1"/>
  <c r="G80" i="1"/>
  <c r="G75" i="1"/>
  <c r="G64" i="1"/>
  <c r="G65" i="1"/>
  <c r="G66" i="1"/>
  <c r="G67" i="1"/>
  <c r="G68" i="1"/>
  <c r="G63" i="1"/>
  <c r="G58" i="1"/>
  <c r="G59" i="1"/>
  <c r="G60" i="1"/>
  <c r="G61" i="1"/>
  <c r="G62" i="1"/>
  <c r="G57" i="1"/>
  <c r="G52" i="1"/>
  <c r="G53" i="1"/>
  <c r="G54" i="1"/>
  <c r="G55" i="1"/>
  <c r="G56" i="1"/>
  <c r="G51" i="1"/>
  <c r="G46" i="1"/>
  <c r="G47" i="1"/>
  <c r="G48" i="1"/>
  <c r="G49" i="1"/>
  <c r="G50" i="1"/>
  <c r="G45" i="1"/>
  <c r="G40" i="1"/>
  <c r="G41" i="1"/>
  <c r="G42" i="1"/>
  <c r="G43" i="1"/>
  <c r="G44" i="1"/>
  <c r="G39" i="1"/>
  <c r="G34" i="1"/>
  <c r="G35" i="1"/>
  <c r="G36" i="1"/>
  <c r="G37" i="1"/>
  <c r="G38" i="1"/>
  <c r="G33" i="1"/>
  <c r="G27" i="1"/>
  <c r="G28" i="1"/>
  <c r="G29" i="1"/>
  <c r="G30" i="1"/>
  <c r="G31" i="1"/>
  <c r="G32" i="1"/>
  <c r="G26" i="1"/>
  <c r="G3" i="1"/>
  <c r="G4" i="1"/>
  <c r="G5" i="1"/>
  <c r="G6" i="1"/>
  <c r="G7" i="1"/>
  <c r="G13" i="1"/>
  <c r="G9" i="1"/>
  <c r="G10" i="1"/>
  <c r="G11" i="1"/>
  <c r="G12" i="1"/>
  <c r="G15" i="1"/>
  <c r="G16" i="1"/>
  <c r="G17" i="1"/>
  <c r="G18" i="1"/>
  <c r="G19" i="1"/>
  <c r="G14" i="1"/>
  <c r="G21" i="1"/>
  <c r="G22" i="1"/>
  <c r="G23" i="1"/>
  <c r="G24" i="1"/>
  <c r="G25" i="1"/>
  <c r="G20" i="1" l="1"/>
  <c r="G8" i="1"/>
  <c r="G2" i="1"/>
  <c r="E36" i="2"/>
  <c r="E35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12" i="2"/>
  <c r="E13" i="2"/>
  <c r="E14" i="2"/>
  <c r="E15" i="2"/>
  <c r="E16" i="2"/>
  <c r="E11" i="2"/>
  <c r="E7" i="2"/>
  <c r="E8" i="2"/>
  <c r="E9" i="2"/>
  <c r="E10" i="2"/>
  <c r="E6" i="2"/>
  <c r="E3" i="2"/>
  <c r="E4" i="2"/>
  <c r="E5" i="2"/>
  <c r="E2" i="2"/>
  <c r="F76" i="1"/>
  <c r="F77" i="1" s="1"/>
  <c r="F78" i="1" s="1"/>
  <c r="F79" i="1" s="1"/>
  <c r="F80" i="1" s="1"/>
  <c r="F70" i="1"/>
  <c r="F71" i="1" s="1"/>
  <c r="F72" i="1" s="1"/>
  <c r="F73" i="1" s="1"/>
  <c r="F74" i="1" s="1"/>
  <c r="F64" i="1"/>
  <c r="F65" i="1" s="1"/>
  <c r="F66" i="1" s="1"/>
  <c r="F67" i="1" s="1"/>
  <c r="F68" i="1" s="1"/>
  <c r="A64" i="1"/>
  <c r="A65" i="1" s="1"/>
  <c r="A66" i="1" s="1"/>
  <c r="A67" i="1" s="1"/>
  <c r="A68" i="1" s="1"/>
  <c r="F58" i="1"/>
  <c r="F59" i="1" s="1"/>
  <c r="F60" i="1" s="1"/>
  <c r="F61" i="1" s="1"/>
  <c r="F62" i="1" s="1"/>
  <c r="A58" i="1"/>
  <c r="A59" i="1" s="1"/>
  <c r="A60" i="1" s="1"/>
  <c r="A61" i="1" s="1"/>
  <c r="A62" i="1" s="1"/>
  <c r="F52" i="1"/>
  <c r="F53" i="1" s="1"/>
  <c r="F54" i="1" s="1"/>
  <c r="F55" i="1" s="1"/>
  <c r="F56" i="1" s="1"/>
  <c r="A52" i="1"/>
  <c r="A53" i="1" s="1"/>
  <c r="A54" i="1" s="1"/>
  <c r="A55" i="1" s="1"/>
  <c r="A56" i="1" s="1"/>
  <c r="F46" i="1"/>
  <c r="F47" i="1" s="1"/>
  <c r="F48" i="1" s="1"/>
  <c r="F49" i="1" s="1"/>
  <c r="F50" i="1" s="1"/>
  <c r="A46" i="1"/>
  <c r="A47" i="1" s="1"/>
  <c r="A48" i="1" s="1"/>
  <c r="A49" i="1" s="1"/>
  <c r="A50" i="1" s="1"/>
  <c r="F40" i="1"/>
  <c r="F41" i="1" s="1"/>
  <c r="F42" i="1" s="1"/>
  <c r="F43" i="1" s="1"/>
  <c r="F44" i="1" s="1"/>
  <c r="A40" i="1"/>
  <c r="A41" i="1" s="1"/>
  <c r="A42" i="1" s="1"/>
  <c r="A43" i="1" s="1"/>
  <c r="A44" i="1" s="1"/>
  <c r="F34" i="1"/>
  <c r="F35" i="1" s="1"/>
  <c r="F36" i="1" s="1"/>
  <c r="F37" i="1" s="1"/>
  <c r="F38" i="1" s="1"/>
  <c r="A34" i="1"/>
  <c r="A35" i="1" s="1"/>
  <c r="A36" i="1" s="1"/>
  <c r="A37" i="1" s="1"/>
  <c r="A38" i="1" s="1"/>
  <c r="A27" i="1"/>
  <c r="A28" i="1" s="1"/>
  <c r="A29" i="1" s="1"/>
  <c r="A30" i="1" s="1"/>
  <c r="A31" i="1" s="1"/>
  <c r="A32" i="1" s="1"/>
  <c r="F21" i="1"/>
  <c r="F22" i="1" s="1"/>
  <c r="F23" i="1" s="1"/>
  <c r="F24" i="1" s="1"/>
  <c r="F25" i="1" s="1"/>
  <c r="A21" i="1"/>
  <c r="A22" i="1" s="1"/>
  <c r="A23" i="1" s="1"/>
  <c r="A24" i="1" s="1"/>
  <c r="A25" i="1" s="1"/>
  <c r="F15" i="1"/>
  <c r="F16" i="1" s="1"/>
  <c r="F17" i="1" s="1"/>
  <c r="F18" i="1" s="1"/>
  <c r="F19" i="1" s="1"/>
  <c r="A15" i="1"/>
  <c r="A16" i="1" s="1"/>
  <c r="A17" i="1" s="1"/>
  <c r="A18" i="1" s="1"/>
  <c r="A19" i="1" s="1"/>
  <c r="F9" i="1"/>
  <c r="F10" i="1" s="1"/>
  <c r="F11" i="1" s="1"/>
  <c r="F12" i="1" s="1"/>
  <c r="F13" i="1" s="1"/>
  <c r="A9" i="1"/>
  <c r="A10" i="1" s="1"/>
  <c r="A11" i="1" s="1"/>
  <c r="A12" i="1" s="1"/>
  <c r="A13" i="1" s="1"/>
  <c r="F3" i="1"/>
  <c r="A3" i="1"/>
  <c r="A4" i="1" s="1"/>
  <c r="A5" i="1" s="1"/>
  <c r="A6" i="1" s="1"/>
  <c r="A7" i="1" s="1"/>
  <c r="F4" i="1" l="1"/>
  <c r="F5" i="1" s="1"/>
  <c r="F6" i="1" s="1"/>
  <c r="F7" i="1" s="1"/>
</calcChain>
</file>

<file path=xl/sharedStrings.xml><?xml version="1.0" encoding="utf-8"?>
<sst xmlns="http://schemas.openxmlformats.org/spreadsheetml/2006/main" count="230" uniqueCount="76">
  <si>
    <t>Category</t>
  </si>
  <si>
    <t>Score (%)</t>
  </si>
  <si>
    <t>Total Weighting</t>
  </si>
  <si>
    <t>Total Score</t>
  </si>
  <si>
    <t>Subcategory</t>
  </si>
  <si>
    <t>Times</t>
  </si>
  <si>
    <t>Time Frame</t>
  </si>
  <si>
    <t>Final Score</t>
  </si>
  <si>
    <t>Decision Maker Type</t>
  </si>
  <si>
    <t>TDM</t>
  </si>
  <si>
    <t>Demo (Scheduled)</t>
  </si>
  <si>
    <t>More than 1 Time</t>
  </si>
  <si>
    <t>7 days</t>
  </si>
  <si>
    <t>Technical</t>
  </si>
  <si>
    <t>At Least 1 Time</t>
  </si>
  <si>
    <t>BDM</t>
  </si>
  <si>
    <t>14 Days</t>
  </si>
  <si>
    <t>Business</t>
  </si>
  <si>
    <t>Job Level</t>
  </si>
  <si>
    <t>Director</t>
  </si>
  <si>
    <t>30 Days</t>
  </si>
  <si>
    <t>Architect</t>
  </si>
  <si>
    <t>Manager</t>
  </si>
  <si>
    <t>VDC Inbound</t>
  </si>
  <si>
    <t>Inbound Call
Inbound Chat</t>
  </si>
  <si>
    <t>Individual Contributor</t>
  </si>
  <si>
    <t>Vice President</t>
  </si>
  <si>
    <t>Job Department</t>
  </si>
  <si>
    <t>Event Attendance</t>
  </si>
  <si>
    <t>Network Management</t>
  </si>
  <si>
    <t>Business Development</t>
  </si>
  <si>
    <t>Form Submit</t>
  </si>
  <si>
    <t>Handraiser</t>
  </si>
  <si>
    <t>Consultant/Contractror</t>
  </si>
  <si>
    <t>Customer Service</t>
  </si>
  <si>
    <t>E-Commerce</t>
  </si>
  <si>
    <t>Engineering</t>
  </si>
  <si>
    <t>Video Content</t>
  </si>
  <si>
    <t>Finance/Accounting</t>
  </si>
  <si>
    <t>Finance/Accounting/Legal</t>
  </si>
  <si>
    <t>HR/Recruitment</t>
  </si>
  <si>
    <t>Journalism</t>
  </si>
  <si>
    <t>Logistics</t>
  </si>
  <si>
    <t>Marketing/PR/Advertising</t>
  </si>
  <si>
    <t>Visited Website</t>
  </si>
  <si>
    <t>Other</t>
  </si>
  <si>
    <t>Purchasing/Procurement</t>
  </si>
  <si>
    <t>Real Estate Management</t>
  </si>
  <si>
    <t>Visited Landing Page</t>
  </si>
  <si>
    <t>Sales</t>
  </si>
  <si>
    <t>Technical Support</t>
  </si>
  <si>
    <t>Training/Education</t>
  </si>
  <si>
    <t>No Response</t>
  </si>
  <si>
    <t>Email Type</t>
  </si>
  <si>
    <t>Corporate</t>
  </si>
  <si>
    <t>Public</t>
  </si>
  <si>
    <t>Non Hand Raiser</t>
  </si>
  <si>
    <t>Paid Media</t>
  </si>
  <si>
    <t>Paid Lead
Content Syndication</t>
  </si>
  <si>
    <t>Email Clickthrough</t>
  </si>
  <si>
    <t>Event Registration</t>
  </si>
  <si>
    <t>Webinar Registration</t>
  </si>
  <si>
    <t>Webinar Attendance</t>
  </si>
  <si>
    <t>Field Value</t>
  </si>
  <si>
    <t>MIS/IT%</t>
  </si>
  <si>
    <t>Operations%</t>
  </si>
  <si>
    <t>Facilities/Estate Manager</t>
  </si>
  <si>
    <t>Research/Development,</t>
  </si>
  <si>
    <t>Manufacturing</t>
  </si>
  <si>
    <t>F2F Event Attendance
F2F Session Attendance
F2F Demo (as part of event)
Booth Attendance</t>
  </si>
  <si>
    <t>7 Days</t>
  </si>
  <si>
    <t xml:space="preserve">100% At Least 1 Time </t>
  </si>
  <si>
    <t xml:space="preserve">75% At Least 1 Time </t>
  </si>
  <si>
    <t xml:space="preserve">50% At Least 1 Time </t>
  </si>
  <si>
    <t xml:space="preserve">25% At Least 1 Time </t>
  </si>
  <si>
    <t>F2F Event Registration
F2F Session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</si>
</sst>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/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Cisco FY26">
      <a:dk1>
        <a:srgbClr val="07182D"/>
      </a:dk1>
      <a:lt1>
        <a:srgbClr val="FFFFFF"/>
      </a:lt1>
      <a:dk2>
        <a:srgbClr val="525E6C"/>
      </a:dk2>
      <a:lt2>
        <a:srgbClr val="B4B9C0"/>
      </a:lt2>
      <a:accent1>
        <a:srgbClr val="02C8FF"/>
      </a:accent1>
      <a:accent2>
        <a:srgbClr val="0A60FF"/>
      </a:accent2>
      <a:accent3>
        <a:srgbClr val="FF007F"/>
      </a:accent3>
      <a:accent4>
        <a:srgbClr val="FF9000"/>
      </a:accent4>
      <a:accent5>
        <a:srgbClr val="D6D6D6"/>
      </a:accent5>
      <a:accent6>
        <a:srgbClr val="6B6B6B"/>
      </a:accent6>
      <a:hlink>
        <a:srgbClr val="07182D"/>
      </a:hlink>
      <a:folHlink>
        <a:srgbClr val="C0C0C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0AB6-258C-47A8-AF95-DB8FF7C95BE4}">
  <dimension ref="A1:S80"/>
  <sheetViews>
    <sheetView tabSelected="1" workbookViewId="0">
      <selection activeCell="G10" sqref="G10"/>
    </sheetView>
  </sheetViews>
  <sheetFormatPr defaultRowHeight="14.25" x14ac:dyDescent="0.45"/>
  <cols>
    <col min="1" max="1" width="18.59765625" bestFit="1" customWidth="1"/>
    <col min="2" max="2" width="26.3984375" bestFit="1" customWidth="1"/>
    <col min="3" max="3" width="20.1328125" bestFit="1" customWidth="1"/>
    <col min="4" max="4" width="11.3984375" bestFit="1" customWidth="1"/>
    <col min="5" max="5" width="9.1328125" bestFit="1" customWidth="1"/>
    <col min="6" max="6" width="10" customWidth="1"/>
    <col min="7" max="7" width="10.3984375" bestFit="1" customWidth="1"/>
  </cols>
  <sheetData>
    <row r="1" spans="1:7" ht="26.25" x14ac:dyDescent="0.45">
      <c r="A1" s="2" t="s">
        <v>0</v>
      </c>
      <c r="B1" s="2" t="s">
        <v>4</v>
      </c>
      <c r="C1" s="2" t="s">
        <v>5</v>
      </c>
      <c r="D1" s="2" t="s">
        <v>6</v>
      </c>
      <c r="E1" s="2" t="s">
        <v>1</v>
      </c>
      <c r="F1" s="2" t="s">
        <v>2</v>
      </c>
      <c r="G1" s="2" t="s">
        <v>7</v>
      </c>
    </row>
    <row r="2" spans="1:7" x14ac:dyDescent="0.45">
      <c r="A2" s="4" t="s">
        <v>10</v>
      </c>
      <c r="B2" s="5"/>
      <c r="C2" s="6" t="s">
        <v>11</v>
      </c>
      <c r="D2" s="7" t="s">
        <v>12</v>
      </c>
      <c r="E2" s="1">
        <v>100</v>
      </c>
      <c r="F2" s="4">
        <v>25</v>
      </c>
      <c r="G2" s="6">
        <f>(E2/100) * $F$2</f>
        <v>25</v>
      </c>
    </row>
    <row r="3" spans="1:7" x14ac:dyDescent="0.45">
      <c r="A3" s="4" t="str">
        <f t="shared" ref="A3:A7" si="0">A2</f>
        <v>Demo (Scheduled)</v>
      </c>
      <c r="B3" s="5"/>
      <c r="C3" s="6" t="s">
        <v>14</v>
      </c>
      <c r="D3" s="7" t="s">
        <v>12</v>
      </c>
      <c r="E3" s="1">
        <v>90</v>
      </c>
      <c r="F3" s="4">
        <f t="shared" ref="F3:F7" si="1">F2</f>
        <v>25</v>
      </c>
      <c r="G3" s="6">
        <f t="shared" ref="G3:G7" si="2">(E3/100) * $F$2</f>
        <v>22.5</v>
      </c>
    </row>
    <row r="4" spans="1:7" x14ac:dyDescent="0.45">
      <c r="A4" s="4" t="str">
        <f t="shared" si="0"/>
        <v>Demo (Scheduled)</v>
      </c>
      <c r="B4" s="5"/>
      <c r="C4" s="6" t="s">
        <v>11</v>
      </c>
      <c r="D4" s="7" t="s">
        <v>16</v>
      </c>
      <c r="E4" s="1">
        <v>80</v>
      </c>
      <c r="F4" s="4">
        <f t="shared" si="1"/>
        <v>25</v>
      </c>
      <c r="G4" s="6">
        <f t="shared" si="2"/>
        <v>20</v>
      </c>
    </row>
    <row r="5" spans="1:7" x14ac:dyDescent="0.45">
      <c r="A5" s="4" t="str">
        <f t="shared" si="0"/>
        <v>Demo (Scheduled)</v>
      </c>
      <c r="B5" s="5"/>
      <c r="C5" s="6" t="s">
        <v>14</v>
      </c>
      <c r="D5" s="7" t="s">
        <v>16</v>
      </c>
      <c r="E5" s="1">
        <v>70</v>
      </c>
      <c r="F5" s="4">
        <f t="shared" si="1"/>
        <v>25</v>
      </c>
      <c r="G5" s="6">
        <f t="shared" si="2"/>
        <v>17.5</v>
      </c>
    </row>
    <row r="6" spans="1:7" x14ac:dyDescent="0.45">
      <c r="A6" s="4" t="str">
        <f t="shared" si="0"/>
        <v>Demo (Scheduled)</v>
      </c>
      <c r="B6" s="5"/>
      <c r="C6" s="6" t="s">
        <v>11</v>
      </c>
      <c r="D6" s="7" t="s">
        <v>20</v>
      </c>
      <c r="E6" s="1">
        <v>60</v>
      </c>
      <c r="F6" s="4">
        <f t="shared" si="1"/>
        <v>25</v>
      </c>
      <c r="G6" s="6">
        <f t="shared" si="2"/>
        <v>15</v>
      </c>
    </row>
    <row r="7" spans="1:7" x14ac:dyDescent="0.45">
      <c r="A7" s="4" t="str">
        <f t="shared" si="0"/>
        <v>Demo (Scheduled)</v>
      </c>
      <c r="B7" s="5"/>
      <c r="C7" s="6" t="s">
        <v>14</v>
      </c>
      <c r="D7" s="7" t="s">
        <v>20</v>
      </c>
      <c r="E7" s="1">
        <v>50</v>
      </c>
      <c r="F7" s="4">
        <f t="shared" si="1"/>
        <v>25</v>
      </c>
      <c r="G7" s="6">
        <f t="shared" si="2"/>
        <v>12.5</v>
      </c>
    </row>
    <row r="8" spans="1:7" x14ac:dyDescent="0.45">
      <c r="A8" s="4" t="s">
        <v>23</v>
      </c>
      <c r="B8" s="8" t="s">
        <v>24</v>
      </c>
      <c r="C8" s="6" t="s">
        <v>11</v>
      </c>
      <c r="D8" s="7" t="s">
        <v>12</v>
      </c>
      <c r="E8" s="1">
        <v>100</v>
      </c>
      <c r="F8" s="4">
        <v>15</v>
      </c>
      <c r="G8" s="6">
        <f>(E8/100) * $F$8</f>
        <v>15</v>
      </c>
    </row>
    <row r="9" spans="1:7" x14ac:dyDescent="0.45">
      <c r="A9" s="4" t="str">
        <f t="shared" ref="A9:A13" si="3">A8</f>
        <v>VDC Inbound</v>
      </c>
      <c r="B9" s="4"/>
      <c r="C9" s="6" t="s">
        <v>14</v>
      </c>
      <c r="D9" s="7" t="s">
        <v>12</v>
      </c>
      <c r="E9" s="1">
        <v>90</v>
      </c>
      <c r="F9" s="4">
        <f t="shared" ref="F9:F13" si="4">F8</f>
        <v>15</v>
      </c>
      <c r="G9" s="6">
        <f t="shared" ref="G9:G12" si="5">(E9/100) * $F$8</f>
        <v>13.5</v>
      </c>
    </row>
    <row r="10" spans="1:7" x14ac:dyDescent="0.45">
      <c r="A10" s="4" t="str">
        <f t="shared" si="3"/>
        <v>VDC Inbound</v>
      </c>
      <c r="B10" s="4"/>
      <c r="C10" s="6" t="s">
        <v>11</v>
      </c>
      <c r="D10" s="7" t="s">
        <v>16</v>
      </c>
      <c r="E10" s="1">
        <v>80</v>
      </c>
      <c r="F10" s="4">
        <f t="shared" si="4"/>
        <v>15</v>
      </c>
      <c r="G10" s="6">
        <f t="shared" si="5"/>
        <v>12</v>
      </c>
    </row>
    <row r="11" spans="1:7" x14ac:dyDescent="0.45">
      <c r="A11" s="4" t="str">
        <f t="shared" si="3"/>
        <v>VDC Inbound</v>
      </c>
      <c r="B11" s="4"/>
      <c r="C11" s="6" t="s">
        <v>14</v>
      </c>
      <c r="D11" s="7" t="s">
        <v>16</v>
      </c>
      <c r="E11" s="1">
        <v>70</v>
      </c>
      <c r="F11" s="4">
        <f t="shared" si="4"/>
        <v>15</v>
      </c>
      <c r="G11" s="6">
        <f t="shared" si="5"/>
        <v>10.5</v>
      </c>
    </row>
    <row r="12" spans="1:7" x14ac:dyDescent="0.45">
      <c r="A12" s="4" t="str">
        <f t="shared" si="3"/>
        <v>VDC Inbound</v>
      </c>
      <c r="B12" s="4"/>
      <c r="C12" s="6" t="s">
        <v>11</v>
      </c>
      <c r="D12" s="7" t="s">
        <v>20</v>
      </c>
      <c r="E12" s="1">
        <v>60</v>
      </c>
      <c r="F12" s="4">
        <f t="shared" si="4"/>
        <v>15</v>
      </c>
      <c r="G12" s="6">
        <f t="shared" si="5"/>
        <v>9</v>
      </c>
    </row>
    <row r="13" spans="1:7" x14ac:dyDescent="0.45">
      <c r="A13" s="4" t="str">
        <f t="shared" si="3"/>
        <v>VDC Inbound</v>
      </c>
      <c r="B13" s="4"/>
      <c r="C13" s="6" t="s">
        <v>14</v>
      </c>
      <c r="D13" s="7" t="s">
        <v>20</v>
      </c>
      <c r="E13" s="1">
        <v>50</v>
      </c>
      <c r="F13" s="4">
        <f t="shared" si="4"/>
        <v>15</v>
      </c>
      <c r="G13" s="6">
        <f>(E13/100) * $F$8</f>
        <v>7.5</v>
      </c>
    </row>
    <row r="14" spans="1:7" x14ac:dyDescent="0.45">
      <c r="A14" s="4" t="s">
        <v>28</v>
      </c>
      <c r="B14" s="8" t="s">
        <v>69</v>
      </c>
      <c r="C14" s="6" t="s">
        <v>11</v>
      </c>
      <c r="D14" s="7" t="s">
        <v>12</v>
      </c>
      <c r="E14" s="1">
        <v>100</v>
      </c>
      <c r="F14" s="4">
        <v>25</v>
      </c>
      <c r="G14" s="6">
        <f>(E14/100) * $F$14</f>
        <v>25</v>
      </c>
    </row>
    <row r="15" spans="1:7" x14ac:dyDescent="0.45">
      <c r="A15" s="4" t="str">
        <f t="shared" ref="A15:A19" si="6">A14</f>
        <v>Event Attendance</v>
      </c>
      <c r="B15" s="4"/>
      <c r="C15" s="6" t="s">
        <v>14</v>
      </c>
      <c r="D15" s="7" t="s">
        <v>12</v>
      </c>
      <c r="E15" s="1">
        <v>90</v>
      </c>
      <c r="F15" s="4">
        <f t="shared" ref="F15:F19" si="7">F14</f>
        <v>25</v>
      </c>
      <c r="G15" s="6">
        <f t="shared" ref="G15:G19" si="8">(E15/100) * $F$14</f>
        <v>22.5</v>
      </c>
    </row>
    <row r="16" spans="1:7" x14ac:dyDescent="0.45">
      <c r="A16" s="4" t="str">
        <f t="shared" si="6"/>
        <v>Event Attendance</v>
      </c>
      <c r="B16" s="4"/>
      <c r="C16" s="6" t="s">
        <v>11</v>
      </c>
      <c r="D16" s="7" t="s">
        <v>16</v>
      </c>
      <c r="E16" s="1">
        <v>80</v>
      </c>
      <c r="F16" s="4">
        <f t="shared" si="7"/>
        <v>25</v>
      </c>
      <c r="G16" s="6">
        <f t="shared" si="8"/>
        <v>20</v>
      </c>
    </row>
    <row r="17" spans="1:19" x14ac:dyDescent="0.45">
      <c r="A17" s="4" t="str">
        <f t="shared" si="6"/>
        <v>Event Attendance</v>
      </c>
      <c r="B17" s="4"/>
      <c r="C17" s="6" t="s">
        <v>14</v>
      </c>
      <c r="D17" s="7" t="s">
        <v>16</v>
      </c>
      <c r="E17" s="1">
        <v>70</v>
      </c>
      <c r="F17" s="4">
        <f t="shared" si="7"/>
        <v>25</v>
      </c>
      <c r="G17" s="6">
        <f t="shared" si="8"/>
        <v>17.5</v>
      </c>
    </row>
    <row r="18" spans="1:19" x14ac:dyDescent="0.45">
      <c r="A18" s="4" t="str">
        <f t="shared" si="6"/>
        <v>Event Attendance</v>
      </c>
      <c r="B18" s="4"/>
      <c r="C18" s="6" t="s">
        <v>11</v>
      </c>
      <c r="D18" s="7" t="s">
        <v>20</v>
      </c>
      <c r="E18" s="1">
        <v>60</v>
      </c>
      <c r="F18" s="4">
        <f t="shared" si="7"/>
        <v>25</v>
      </c>
      <c r="G18" s="6">
        <f t="shared" si="8"/>
        <v>15</v>
      </c>
    </row>
    <row r="19" spans="1:19" x14ac:dyDescent="0.45">
      <c r="A19" s="4" t="str">
        <f t="shared" si="6"/>
        <v>Event Attendance</v>
      </c>
      <c r="B19" s="4"/>
      <c r="C19" s="6" t="s">
        <v>14</v>
      </c>
      <c r="D19" s="7" t="s">
        <v>20</v>
      </c>
      <c r="E19" s="1">
        <v>50</v>
      </c>
      <c r="F19" s="4">
        <f t="shared" si="7"/>
        <v>25</v>
      </c>
      <c r="G19" s="6">
        <f t="shared" si="8"/>
        <v>12.5</v>
      </c>
    </row>
    <row r="20" spans="1:19" x14ac:dyDescent="0.45">
      <c r="A20" s="4" t="s">
        <v>31</v>
      </c>
      <c r="B20" s="5" t="s">
        <v>32</v>
      </c>
      <c r="C20" s="6" t="s">
        <v>11</v>
      </c>
      <c r="D20" s="7" t="s">
        <v>12</v>
      </c>
      <c r="E20" s="1">
        <v>100</v>
      </c>
      <c r="F20" s="4">
        <v>15</v>
      </c>
      <c r="G20" s="6">
        <f>(E20/100) * $F$20</f>
        <v>15</v>
      </c>
    </row>
    <row r="21" spans="1:19" x14ac:dyDescent="0.45">
      <c r="A21" s="4" t="str">
        <f t="shared" ref="A21:A25" si="9">A20</f>
        <v>Form Submit</v>
      </c>
      <c r="B21" s="5"/>
      <c r="C21" s="6" t="s">
        <v>14</v>
      </c>
      <c r="D21" s="7" t="s">
        <v>12</v>
      </c>
      <c r="E21" s="1">
        <v>90</v>
      </c>
      <c r="F21" s="4">
        <f t="shared" ref="F21:F25" si="10">F20</f>
        <v>15</v>
      </c>
      <c r="G21" s="6">
        <f t="shared" ref="G21:G25" si="11">(E21/100) * $F$20</f>
        <v>13.5</v>
      </c>
    </row>
    <row r="22" spans="1:19" x14ac:dyDescent="0.45">
      <c r="A22" s="4" t="str">
        <f t="shared" si="9"/>
        <v>Form Submit</v>
      </c>
      <c r="B22" s="5"/>
      <c r="C22" s="6" t="s">
        <v>11</v>
      </c>
      <c r="D22" s="7" t="s">
        <v>16</v>
      </c>
      <c r="E22" s="1">
        <v>80</v>
      </c>
      <c r="F22" s="4">
        <f t="shared" si="10"/>
        <v>15</v>
      </c>
      <c r="G22" s="6">
        <f t="shared" si="11"/>
        <v>12</v>
      </c>
    </row>
    <row r="23" spans="1:19" x14ac:dyDescent="0.45">
      <c r="A23" s="4" t="str">
        <f t="shared" si="9"/>
        <v>Form Submit</v>
      </c>
      <c r="B23" s="5"/>
      <c r="C23" s="6" t="s">
        <v>14</v>
      </c>
      <c r="D23" s="7" t="s">
        <v>16</v>
      </c>
      <c r="E23" s="1">
        <v>70</v>
      </c>
      <c r="F23" s="4">
        <f t="shared" si="10"/>
        <v>15</v>
      </c>
      <c r="G23" s="6">
        <f t="shared" si="11"/>
        <v>10.5</v>
      </c>
    </row>
    <row r="24" spans="1:19" x14ac:dyDescent="0.45">
      <c r="A24" s="4" t="str">
        <f t="shared" si="9"/>
        <v>Form Submit</v>
      </c>
      <c r="B24" s="5"/>
      <c r="C24" s="6" t="s">
        <v>11</v>
      </c>
      <c r="D24" s="7" t="s">
        <v>20</v>
      </c>
      <c r="E24" s="1">
        <v>60</v>
      </c>
      <c r="F24" s="4">
        <f t="shared" si="10"/>
        <v>15</v>
      </c>
      <c r="G24" s="6">
        <f t="shared" si="11"/>
        <v>9</v>
      </c>
    </row>
    <row r="25" spans="1:19" x14ac:dyDescent="0.45">
      <c r="A25" s="4" t="str">
        <f t="shared" si="9"/>
        <v>Form Submit</v>
      </c>
      <c r="B25" s="5"/>
      <c r="C25" s="6" t="s">
        <v>14</v>
      </c>
      <c r="D25" s="7" t="s">
        <v>20</v>
      </c>
      <c r="E25" s="1">
        <v>50</v>
      </c>
      <c r="F25" s="4">
        <f t="shared" si="10"/>
        <v>15</v>
      </c>
      <c r="G25" s="6">
        <f t="shared" si="11"/>
        <v>7.5</v>
      </c>
    </row>
    <row r="26" spans="1:19" x14ac:dyDescent="0.45">
      <c r="A26" s="5" t="s">
        <v>37</v>
      </c>
      <c r="B26" s="9"/>
      <c r="C26" s="6" t="s">
        <v>71</v>
      </c>
      <c r="D26" s="9" t="s">
        <v>70</v>
      </c>
      <c r="E26" s="1">
        <v>100</v>
      </c>
      <c r="F26" s="5">
        <v>15</v>
      </c>
      <c r="G26" s="6">
        <f>(E26/100) * $F$26</f>
        <v>15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45">
      <c r="A27" s="5" t="str">
        <f t="shared" ref="A27:A32" si="12">A26</f>
        <v>Video Content</v>
      </c>
      <c r="B27" s="6"/>
      <c r="C27" s="6" t="s">
        <v>71</v>
      </c>
      <c r="D27" s="7" t="s">
        <v>16</v>
      </c>
      <c r="E27" s="1">
        <v>90</v>
      </c>
      <c r="F27" s="5">
        <v>15</v>
      </c>
      <c r="G27" s="6">
        <f t="shared" ref="G27:G32" si="13">(E27/100) * $F$26</f>
        <v>13.5</v>
      </c>
    </row>
    <row r="28" spans="1:19" x14ac:dyDescent="0.45">
      <c r="A28" s="5" t="str">
        <f t="shared" si="12"/>
        <v>Video Content</v>
      </c>
      <c r="B28" s="6"/>
      <c r="C28" s="6" t="s">
        <v>72</v>
      </c>
      <c r="D28" s="7" t="s">
        <v>70</v>
      </c>
      <c r="E28" s="1">
        <v>80</v>
      </c>
      <c r="F28" s="5">
        <v>15</v>
      </c>
      <c r="G28" s="6">
        <f t="shared" si="13"/>
        <v>12</v>
      </c>
    </row>
    <row r="29" spans="1:19" x14ac:dyDescent="0.45">
      <c r="A29" s="5" t="str">
        <f t="shared" si="12"/>
        <v>Video Content</v>
      </c>
      <c r="B29" s="6"/>
      <c r="C29" s="6" t="s">
        <v>72</v>
      </c>
      <c r="D29" s="7" t="s">
        <v>16</v>
      </c>
      <c r="E29" s="1">
        <v>70</v>
      </c>
      <c r="F29" s="5">
        <v>15</v>
      </c>
      <c r="G29" s="6">
        <f t="shared" si="13"/>
        <v>10.5</v>
      </c>
    </row>
    <row r="30" spans="1:19" x14ac:dyDescent="0.45">
      <c r="A30" s="5" t="str">
        <f t="shared" si="12"/>
        <v>Video Content</v>
      </c>
      <c r="B30" s="6"/>
      <c r="C30" s="6" t="s">
        <v>73</v>
      </c>
      <c r="D30" s="7" t="s">
        <v>70</v>
      </c>
      <c r="E30" s="1">
        <v>60</v>
      </c>
      <c r="F30" s="5">
        <v>15</v>
      </c>
      <c r="G30" s="6">
        <f t="shared" si="13"/>
        <v>9</v>
      </c>
    </row>
    <row r="31" spans="1:19" x14ac:dyDescent="0.45">
      <c r="A31" s="5" t="str">
        <f t="shared" si="12"/>
        <v>Video Content</v>
      </c>
      <c r="B31" s="6"/>
      <c r="C31" s="6" t="s">
        <v>73</v>
      </c>
      <c r="D31" s="7" t="s">
        <v>16</v>
      </c>
      <c r="E31" s="1">
        <v>50</v>
      </c>
      <c r="F31" s="5">
        <v>15</v>
      </c>
      <c r="G31" s="6">
        <f t="shared" si="13"/>
        <v>7.5</v>
      </c>
    </row>
    <row r="32" spans="1:19" x14ac:dyDescent="0.45">
      <c r="A32" s="5" t="str">
        <f t="shared" si="12"/>
        <v>Video Content</v>
      </c>
      <c r="B32" s="6"/>
      <c r="C32" s="6" t="s">
        <v>74</v>
      </c>
      <c r="D32" s="7" t="s">
        <v>70</v>
      </c>
      <c r="E32" s="1">
        <v>40</v>
      </c>
      <c r="F32" s="5">
        <v>15</v>
      </c>
      <c r="G32" s="6">
        <f t="shared" si="13"/>
        <v>6</v>
      </c>
    </row>
    <row r="33" spans="1:7" x14ac:dyDescent="0.45">
      <c r="A33" s="4" t="s">
        <v>44</v>
      </c>
      <c r="B33" s="5"/>
      <c r="C33" s="6" t="s">
        <v>11</v>
      </c>
      <c r="D33" s="7" t="s">
        <v>12</v>
      </c>
      <c r="E33" s="1">
        <v>100</v>
      </c>
      <c r="F33" s="4">
        <v>10</v>
      </c>
      <c r="G33" s="6">
        <f>(E33/100) * $F$33</f>
        <v>10</v>
      </c>
    </row>
    <row r="34" spans="1:7" x14ac:dyDescent="0.45">
      <c r="A34" s="4" t="str">
        <f t="shared" ref="A34:A38" si="14">A33</f>
        <v>Visited Website</v>
      </c>
      <c r="B34" s="5"/>
      <c r="C34" s="6" t="s">
        <v>14</v>
      </c>
      <c r="D34" s="7" t="s">
        <v>12</v>
      </c>
      <c r="E34" s="1">
        <v>90</v>
      </c>
      <c r="F34" s="4">
        <f t="shared" ref="F34:F38" si="15">F33</f>
        <v>10</v>
      </c>
      <c r="G34" s="6">
        <f t="shared" ref="G34:G38" si="16">(E34/100) * $F$33</f>
        <v>9</v>
      </c>
    </row>
    <row r="35" spans="1:7" x14ac:dyDescent="0.45">
      <c r="A35" s="4" t="str">
        <f t="shared" si="14"/>
        <v>Visited Website</v>
      </c>
      <c r="B35" s="5"/>
      <c r="C35" s="6" t="s">
        <v>11</v>
      </c>
      <c r="D35" s="7" t="s">
        <v>16</v>
      </c>
      <c r="E35" s="1">
        <v>80</v>
      </c>
      <c r="F35" s="4">
        <f t="shared" si="15"/>
        <v>10</v>
      </c>
      <c r="G35" s="6">
        <f t="shared" si="16"/>
        <v>8</v>
      </c>
    </row>
    <row r="36" spans="1:7" x14ac:dyDescent="0.45">
      <c r="A36" s="4" t="str">
        <f t="shared" si="14"/>
        <v>Visited Website</v>
      </c>
      <c r="B36" s="5"/>
      <c r="C36" s="6" t="s">
        <v>14</v>
      </c>
      <c r="D36" s="7" t="s">
        <v>16</v>
      </c>
      <c r="E36" s="1">
        <v>70</v>
      </c>
      <c r="F36" s="4">
        <f t="shared" si="15"/>
        <v>10</v>
      </c>
      <c r="G36" s="6">
        <f t="shared" si="16"/>
        <v>7</v>
      </c>
    </row>
    <row r="37" spans="1:7" x14ac:dyDescent="0.45">
      <c r="A37" s="4" t="str">
        <f t="shared" si="14"/>
        <v>Visited Website</v>
      </c>
      <c r="B37" s="5"/>
      <c r="C37" s="6" t="s">
        <v>11</v>
      </c>
      <c r="D37" s="7" t="s">
        <v>20</v>
      </c>
      <c r="E37" s="1">
        <v>60</v>
      </c>
      <c r="F37" s="4">
        <f t="shared" si="15"/>
        <v>10</v>
      </c>
      <c r="G37" s="6">
        <f t="shared" si="16"/>
        <v>6</v>
      </c>
    </row>
    <row r="38" spans="1:7" x14ac:dyDescent="0.45">
      <c r="A38" s="4" t="str">
        <f t="shared" si="14"/>
        <v>Visited Website</v>
      </c>
      <c r="B38" s="5"/>
      <c r="C38" s="6" t="s">
        <v>14</v>
      </c>
      <c r="D38" s="7" t="s">
        <v>20</v>
      </c>
      <c r="E38" s="1">
        <v>50</v>
      </c>
      <c r="F38" s="4">
        <f t="shared" si="15"/>
        <v>10</v>
      </c>
      <c r="G38" s="6">
        <f t="shared" si="16"/>
        <v>5</v>
      </c>
    </row>
    <row r="39" spans="1:7" x14ac:dyDescent="0.45">
      <c r="A39" s="4" t="s">
        <v>48</v>
      </c>
      <c r="B39" s="5"/>
      <c r="C39" s="6" t="s">
        <v>11</v>
      </c>
      <c r="D39" s="7" t="s">
        <v>12</v>
      </c>
      <c r="E39" s="1">
        <v>100</v>
      </c>
      <c r="F39" s="4">
        <v>5</v>
      </c>
      <c r="G39" s="6">
        <f>(E39/100) * $F$39</f>
        <v>5</v>
      </c>
    </row>
    <row r="40" spans="1:7" x14ac:dyDescent="0.45">
      <c r="A40" s="4" t="str">
        <f t="shared" ref="A40:A44" si="17">A39</f>
        <v>Visited Landing Page</v>
      </c>
      <c r="B40" s="5"/>
      <c r="C40" s="6" t="s">
        <v>14</v>
      </c>
      <c r="D40" s="7" t="s">
        <v>12</v>
      </c>
      <c r="E40" s="1">
        <v>90</v>
      </c>
      <c r="F40" s="4">
        <f t="shared" ref="F40:F44" si="18">F39</f>
        <v>5</v>
      </c>
      <c r="G40" s="6">
        <f t="shared" ref="G40:G44" si="19">(E40/100) * $F$39</f>
        <v>4.5</v>
      </c>
    </row>
    <row r="41" spans="1:7" x14ac:dyDescent="0.45">
      <c r="A41" s="4" t="str">
        <f t="shared" si="17"/>
        <v>Visited Landing Page</v>
      </c>
      <c r="B41" s="5"/>
      <c r="C41" s="6" t="s">
        <v>11</v>
      </c>
      <c r="D41" s="7" t="s">
        <v>16</v>
      </c>
      <c r="E41" s="1">
        <v>80</v>
      </c>
      <c r="F41" s="4">
        <f t="shared" si="18"/>
        <v>5</v>
      </c>
      <c r="G41" s="6">
        <f t="shared" si="19"/>
        <v>4</v>
      </c>
    </row>
    <row r="42" spans="1:7" x14ac:dyDescent="0.45">
      <c r="A42" s="4" t="str">
        <f t="shared" si="17"/>
        <v>Visited Landing Page</v>
      </c>
      <c r="B42" s="5"/>
      <c r="C42" s="6" t="s">
        <v>14</v>
      </c>
      <c r="D42" s="7" t="s">
        <v>16</v>
      </c>
      <c r="E42" s="1">
        <v>70</v>
      </c>
      <c r="F42" s="4">
        <f t="shared" si="18"/>
        <v>5</v>
      </c>
      <c r="G42" s="6">
        <f t="shared" si="19"/>
        <v>3.5</v>
      </c>
    </row>
    <row r="43" spans="1:7" x14ac:dyDescent="0.45">
      <c r="A43" s="4" t="str">
        <f t="shared" si="17"/>
        <v>Visited Landing Page</v>
      </c>
      <c r="B43" s="5"/>
      <c r="C43" s="6" t="s">
        <v>11</v>
      </c>
      <c r="D43" s="7" t="s">
        <v>20</v>
      </c>
      <c r="E43" s="1">
        <v>60</v>
      </c>
      <c r="F43" s="4">
        <f t="shared" si="18"/>
        <v>5</v>
      </c>
      <c r="G43" s="6">
        <f t="shared" si="19"/>
        <v>3</v>
      </c>
    </row>
    <row r="44" spans="1:7" x14ac:dyDescent="0.45">
      <c r="A44" s="4" t="str">
        <f t="shared" si="17"/>
        <v>Visited Landing Page</v>
      </c>
      <c r="B44" s="5"/>
      <c r="C44" s="6" t="s">
        <v>14</v>
      </c>
      <c r="D44" s="7" t="s">
        <v>20</v>
      </c>
      <c r="E44" s="1">
        <v>50</v>
      </c>
      <c r="F44" s="4">
        <f t="shared" si="18"/>
        <v>5</v>
      </c>
      <c r="G44" s="6">
        <f t="shared" si="19"/>
        <v>2.5</v>
      </c>
    </row>
    <row r="45" spans="1:7" x14ac:dyDescent="0.45">
      <c r="A45" s="5" t="s">
        <v>31</v>
      </c>
      <c r="B45" s="5" t="s">
        <v>56</v>
      </c>
      <c r="C45" s="6" t="s">
        <v>11</v>
      </c>
      <c r="D45" s="7" t="s">
        <v>12</v>
      </c>
      <c r="E45" s="1">
        <v>100</v>
      </c>
      <c r="F45" s="5">
        <v>10</v>
      </c>
      <c r="G45" s="6">
        <f>(E45/100) * $F$45</f>
        <v>10</v>
      </c>
    </row>
    <row r="46" spans="1:7" x14ac:dyDescent="0.45">
      <c r="A46" s="5" t="str">
        <f t="shared" ref="A46:A50" si="20">A45</f>
        <v>Form Submit</v>
      </c>
      <c r="B46" s="5"/>
      <c r="C46" s="6" t="s">
        <v>14</v>
      </c>
      <c r="D46" s="7" t="s">
        <v>12</v>
      </c>
      <c r="E46" s="1">
        <v>90</v>
      </c>
      <c r="F46" s="5">
        <f t="shared" ref="F46:F50" si="21">F45</f>
        <v>10</v>
      </c>
      <c r="G46" s="6">
        <f t="shared" ref="G46:G50" si="22">(E46/100) * $F$45</f>
        <v>9</v>
      </c>
    </row>
    <row r="47" spans="1:7" x14ac:dyDescent="0.45">
      <c r="A47" s="5" t="str">
        <f t="shared" si="20"/>
        <v>Form Submit</v>
      </c>
      <c r="B47" s="5"/>
      <c r="C47" s="6" t="s">
        <v>11</v>
      </c>
      <c r="D47" s="7" t="s">
        <v>16</v>
      </c>
      <c r="E47" s="1">
        <v>80</v>
      </c>
      <c r="F47" s="5">
        <f t="shared" si="21"/>
        <v>10</v>
      </c>
      <c r="G47" s="6">
        <f t="shared" si="22"/>
        <v>8</v>
      </c>
    </row>
    <row r="48" spans="1:7" x14ac:dyDescent="0.45">
      <c r="A48" s="5" t="str">
        <f t="shared" si="20"/>
        <v>Form Submit</v>
      </c>
      <c r="B48" s="5"/>
      <c r="C48" s="6" t="s">
        <v>14</v>
      </c>
      <c r="D48" s="7" t="s">
        <v>16</v>
      </c>
      <c r="E48" s="1">
        <v>70</v>
      </c>
      <c r="F48" s="5">
        <f t="shared" si="21"/>
        <v>10</v>
      </c>
      <c r="G48" s="6">
        <f t="shared" si="22"/>
        <v>7</v>
      </c>
    </row>
    <row r="49" spans="1:7" x14ac:dyDescent="0.45">
      <c r="A49" s="5" t="str">
        <f t="shared" si="20"/>
        <v>Form Submit</v>
      </c>
      <c r="B49" s="5"/>
      <c r="C49" s="6" t="s">
        <v>11</v>
      </c>
      <c r="D49" s="7" t="s">
        <v>20</v>
      </c>
      <c r="E49" s="1">
        <v>60</v>
      </c>
      <c r="F49" s="5">
        <f t="shared" si="21"/>
        <v>10</v>
      </c>
      <c r="G49" s="6">
        <f t="shared" si="22"/>
        <v>6</v>
      </c>
    </row>
    <row r="50" spans="1:7" x14ac:dyDescent="0.45">
      <c r="A50" s="5" t="str">
        <f t="shared" si="20"/>
        <v>Form Submit</v>
      </c>
      <c r="B50" s="5"/>
      <c r="C50" s="6" t="s">
        <v>14</v>
      </c>
      <c r="D50" s="7" t="s">
        <v>20</v>
      </c>
      <c r="E50" s="1">
        <v>50</v>
      </c>
      <c r="F50" s="5">
        <f t="shared" si="21"/>
        <v>10</v>
      </c>
      <c r="G50" s="6">
        <f t="shared" si="22"/>
        <v>5</v>
      </c>
    </row>
    <row r="51" spans="1:7" x14ac:dyDescent="0.45">
      <c r="A51" s="4" t="s">
        <v>57</v>
      </c>
      <c r="B51" s="5" t="s">
        <v>58</v>
      </c>
      <c r="C51" s="6" t="s">
        <v>11</v>
      </c>
      <c r="D51" s="7" t="s">
        <v>12</v>
      </c>
      <c r="E51" s="1">
        <v>100</v>
      </c>
      <c r="F51" s="4">
        <v>15</v>
      </c>
      <c r="G51" s="6">
        <f>(E51/100) * $F$51</f>
        <v>15</v>
      </c>
    </row>
    <row r="52" spans="1:7" x14ac:dyDescent="0.45">
      <c r="A52" s="4" t="str">
        <f t="shared" ref="A52:A56" si="23">A51</f>
        <v>Paid Media</v>
      </c>
      <c r="B52" s="5"/>
      <c r="C52" s="6" t="s">
        <v>14</v>
      </c>
      <c r="D52" s="7" t="s">
        <v>12</v>
      </c>
      <c r="E52" s="1">
        <v>90</v>
      </c>
      <c r="F52" s="4">
        <f t="shared" ref="F52:F56" si="24">F51</f>
        <v>15</v>
      </c>
      <c r="G52" s="6">
        <f t="shared" ref="G52:G56" si="25">(E52/100) * $F$51</f>
        <v>13.5</v>
      </c>
    </row>
    <row r="53" spans="1:7" x14ac:dyDescent="0.45">
      <c r="A53" s="4" t="str">
        <f t="shared" si="23"/>
        <v>Paid Media</v>
      </c>
      <c r="B53" s="5"/>
      <c r="C53" s="6" t="s">
        <v>11</v>
      </c>
      <c r="D53" s="7" t="s">
        <v>16</v>
      </c>
      <c r="E53" s="1">
        <v>80</v>
      </c>
      <c r="F53" s="4">
        <f t="shared" si="24"/>
        <v>15</v>
      </c>
      <c r="G53" s="6">
        <f t="shared" si="25"/>
        <v>12</v>
      </c>
    </row>
    <row r="54" spans="1:7" x14ac:dyDescent="0.45">
      <c r="A54" s="4" t="str">
        <f t="shared" si="23"/>
        <v>Paid Media</v>
      </c>
      <c r="B54" s="5"/>
      <c r="C54" s="6" t="s">
        <v>14</v>
      </c>
      <c r="D54" s="7" t="s">
        <v>16</v>
      </c>
      <c r="E54" s="1">
        <v>70</v>
      </c>
      <c r="F54" s="4">
        <f t="shared" si="24"/>
        <v>15</v>
      </c>
      <c r="G54" s="6">
        <f t="shared" si="25"/>
        <v>10.5</v>
      </c>
    </row>
    <row r="55" spans="1:7" x14ac:dyDescent="0.45">
      <c r="A55" s="4" t="str">
        <f t="shared" si="23"/>
        <v>Paid Media</v>
      </c>
      <c r="B55" s="5"/>
      <c r="C55" s="6" t="s">
        <v>11</v>
      </c>
      <c r="D55" s="7" t="s">
        <v>20</v>
      </c>
      <c r="E55" s="1">
        <v>60</v>
      </c>
      <c r="F55" s="4">
        <f t="shared" si="24"/>
        <v>15</v>
      </c>
      <c r="G55" s="6">
        <f t="shared" si="25"/>
        <v>9</v>
      </c>
    </row>
    <row r="56" spans="1:7" x14ac:dyDescent="0.45">
      <c r="A56" s="4" t="str">
        <f t="shared" si="23"/>
        <v>Paid Media</v>
      </c>
      <c r="B56" s="5"/>
      <c r="C56" s="6" t="s">
        <v>14</v>
      </c>
      <c r="D56" s="7" t="s">
        <v>20</v>
      </c>
      <c r="E56" s="1">
        <v>50</v>
      </c>
      <c r="F56" s="4">
        <f t="shared" si="24"/>
        <v>15</v>
      </c>
      <c r="G56" s="6">
        <f t="shared" si="25"/>
        <v>7.5</v>
      </c>
    </row>
    <row r="57" spans="1:7" x14ac:dyDescent="0.45">
      <c r="A57" s="4" t="s">
        <v>59</v>
      </c>
      <c r="B57" s="5"/>
      <c r="C57" s="6" t="s">
        <v>11</v>
      </c>
      <c r="D57" s="7" t="s">
        <v>12</v>
      </c>
      <c r="E57" s="1">
        <v>100</v>
      </c>
      <c r="F57" s="4">
        <v>5</v>
      </c>
      <c r="G57" s="6">
        <f>(E57/100) * $F$57</f>
        <v>5</v>
      </c>
    </row>
    <row r="58" spans="1:7" x14ac:dyDescent="0.45">
      <c r="A58" s="4" t="str">
        <f t="shared" ref="A58:A62" si="26">A57</f>
        <v>Email Clickthrough</v>
      </c>
      <c r="B58" s="5"/>
      <c r="C58" s="6" t="s">
        <v>14</v>
      </c>
      <c r="D58" s="7" t="s">
        <v>12</v>
      </c>
      <c r="E58" s="1">
        <v>90</v>
      </c>
      <c r="F58" s="4">
        <f t="shared" ref="F58:F62" si="27">F57</f>
        <v>5</v>
      </c>
      <c r="G58" s="6">
        <f t="shared" ref="G58:G62" si="28">(E58/100) * $F$57</f>
        <v>4.5</v>
      </c>
    </row>
    <row r="59" spans="1:7" x14ac:dyDescent="0.45">
      <c r="A59" s="4" t="str">
        <f t="shared" si="26"/>
        <v>Email Clickthrough</v>
      </c>
      <c r="B59" s="5"/>
      <c r="C59" s="6" t="s">
        <v>11</v>
      </c>
      <c r="D59" s="7" t="s">
        <v>16</v>
      </c>
      <c r="E59" s="1">
        <v>80</v>
      </c>
      <c r="F59" s="4">
        <f t="shared" si="27"/>
        <v>5</v>
      </c>
      <c r="G59" s="6">
        <f t="shared" si="28"/>
        <v>4</v>
      </c>
    </row>
    <row r="60" spans="1:7" x14ac:dyDescent="0.45">
      <c r="A60" s="4" t="str">
        <f t="shared" si="26"/>
        <v>Email Clickthrough</v>
      </c>
      <c r="B60" s="5"/>
      <c r="C60" s="6" t="s">
        <v>14</v>
      </c>
      <c r="D60" s="7" t="s">
        <v>16</v>
      </c>
      <c r="E60" s="1">
        <v>70</v>
      </c>
      <c r="F60" s="4">
        <f t="shared" si="27"/>
        <v>5</v>
      </c>
      <c r="G60" s="6">
        <f t="shared" si="28"/>
        <v>3.5</v>
      </c>
    </row>
    <row r="61" spans="1:7" x14ac:dyDescent="0.45">
      <c r="A61" s="4" t="str">
        <f t="shared" si="26"/>
        <v>Email Clickthrough</v>
      </c>
      <c r="B61" s="5"/>
      <c r="C61" s="6" t="s">
        <v>11</v>
      </c>
      <c r="D61" s="7" t="s">
        <v>20</v>
      </c>
      <c r="E61" s="1">
        <v>60</v>
      </c>
      <c r="F61" s="4">
        <f t="shared" si="27"/>
        <v>5</v>
      </c>
      <c r="G61" s="6">
        <f t="shared" si="28"/>
        <v>3</v>
      </c>
    </row>
    <row r="62" spans="1:7" x14ac:dyDescent="0.45">
      <c r="A62" s="4" t="str">
        <f t="shared" si="26"/>
        <v>Email Clickthrough</v>
      </c>
      <c r="B62" s="5"/>
      <c r="C62" s="6" t="s">
        <v>14</v>
      </c>
      <c r="D62" s="7" t="s">
        <v>20</v>
      </c>
      <c r="E62" s="1">
        <v>50</v>
      </c>
      <c r="F62" s="4">
        <f t="shared" si="27"/>
        <v>5</v>
      </c>
      <c r="G62" s="6">
        <f t="shared" si="28"/>
        <v>2.5</v>
      </c>
    </row>
    <row r="63" spans="1:7" x14ac:dyDescent="0.45">
      <c r="A63" s="4" t="s">
        <v>60</v>
      </c>
      <c r="B63" s="5" t="s">
        <v>75</v>
      </c>
      <c r="C63" s="6" t="s">
        <v>11</v>
      </c>
      <c r="D63" s="7" t="s">
        <v>12</v>
      </c>
      <c r="E63" s="1">
        <v>100</v>
      </c>
      <c r="F63" s="4">
        <v>10</v>
      </c>
      <c r="G63" s="6">
        <f>(E63/100) * $F$63</f>
        <v>10</v>
      </c>
    </row>
    <row r="64" spans="1:7" x14ac:dyDescent="0.45">
      <c r="A64" s="4" t="str">
        <f t="shared" ref="A64:A68" si="29">A63</f>
        <v>Event Registration</v>
      </c>
      <c r="B64" s="5"/>
      <c r="C64" s="6" t="s">
        <v>14</v>
      </c>
      <c r="D64" s="7" t="s">
        <v>12</v>
      </c>
      <c r="E64" s="1">
        <v>90</v>
      </c>
      <c r="F64" s="4">
        <f t="shared" ref="F64:F68" si="30">F63</f>
        <v>10</v>
      </c>
      <c r="G64" s="6">
        <f t="shared" ref="G64:G68" si="31">(E64/100) * $F$63</f>
        <v>9</v>
      </c>
    </row>
    <row r="65" spans="1:7" x14ac:dyDescent="0.45">
      <c r="A65" s="4" t="str">
        <f t="shared" si="29"/>
        <v>Event Registration</v>
      </c>
      <c r="B65" s="5"/>
      <c r="C65" s="6" t="s">
        <v>11</v>
      </c>
      <c r="D65" s="7" t="s">
        <v>16</v>
      </c>
      <c r="E65" s="1">
        <v>80</v>
      </c>
      <c r="F65" s="4">
        <f t="shared" si="30"/>
        <v>10</v>
      </c>
      <c r="G65" s="6">
        <f t="shared" si="31"/>
        <v>8</v>
      </c>
    </row>
    <row r="66" spans="1:7" x14ac:dyDescent="0.45">
      <c r="A66" s="4" t="str">
        <f t="shared" si="29"/>
        <v>Event Registration</v>
      </c>
      <c r="B66" s="5"/>
      <c r="C66" s="6" t="s">
        <v>14</v>
      </c>
      <c r="D66" s="7" t="s">
        <v>16</v>
      </c>
      <c r="E66" s="1">
        <v>70</v>
      </c>
      <c r="F66" s="4">
        <f t="shared" si="30"/>
        <v>10</v>
      </c>
      <c r="G66" s="6">
        <f t="shared" si="31"/>
        <v>7</v>
      </c>
    </row>
    <row r="67" spans="1:7" x14ac:dyDescent="0.45">
      <c r="A67" s="4" t="str">
        <f t="shared" si="29"/>
        <v>Event Registration</v>
      </c>
      <c r="B67" s="5"/>
      <c r="C67" s="6" t="s">
        <v>11</v>
      </c>
      <c r="D67" s="7" t="s">
        <v>20</v>
      </c>
      <c r="E67" s="1">
        <v>60</v>
      </c>
      <c r="F67" s="4">
        <f t="shared" si="30"/>
        <v>10</v>
      </c>
      <c r="G67" s="6">
        <f t="shared" si="31"/>
        <v>6</v>
      </c>
    </row>
    <row r="68" spans="1:7" x14ac:dyDescent="0.45">
      <c r="A68" s="4" t="str">
        <f t="shared" si="29"/>
        <v>Event Registration</v>
      </c>
      <c r="B68" s="5"/>
      <c r="C68" s="6" t="s">
        <v>14</v>
      </c>
      <c r="D68" s="7" t="s">
        <v>20</v>
      </c>
      <c r="E68" s="1">
        <v>50</v>
      </c>
      <c r="F68" s="4">
        <f t="shared" si="30"/>
        <v>10</v>
      </c>
      <c r="G68" s="6">
        <f t="shared" si="31"/>
        <v>5</v>
      </c>
    </row>
    <row r="69" spans="1:7" x14ac:dyDescent="0.45">
      <c r="A69" s="10" t="s">
        <v>61</v>
      </c>
      <c r="B69" s="10" t="s">
        <v>61</v>
      </c>
      <c r="C69" s="6" t="s">
        <v>11</v>
      </c>
      <c r="D69" s="7" t="s">
        <v>12</v>
      </c>
      <c r="E69" s="1">
        <v>100</v>
      </c>
      <c r="F69" s="10">
        <v>5</v>
      </c>
      <c r="G69" s="6">
        <f>(E69/100) * $F$69</f>
        <v>5</v>
      </c>
    </row>
    <row r="70" spans="1:7" x14ac:dyDescent="0.45">
      <c r="A70" s="10" t="str">
        <f t="shared" ref="A70:A74" si="32">A69</f>
        <v>Webinar Registration</v>
      </c>
      <c r="B70" s="10"/>
      <c r="C70" s="6" t="s">
        <v>14</v>
      </c>
      <c r="D70" s="7" t="s">
        <v>12</v>
      </c>
      <c r="E70" s="1">
        <v>90</v>
      </c>
      <c r="F70" s="10">
        <f t="shared" ref="F70:F80" si="33">F69</f>
        <v>5</v>
      </c>
      <c r="G70" s="6">
        <f t="shared" ref="G70:G74" si="34">(E70/100) * $F$69</f>
        <v>4.5</v>
      </c>
    </row>
    <row r="71" spans="1:7" x14ac:dyDescent="0.45">
      <c r="A71" s="10" t="str">
        <f t="shared" si="32"/>
        <v>Webinar Registration</v>
      </c>
      <c r="B71" s="10"/>
      <c r="C71" s="6" t="s">
        <v>11</v>
      </c>
      <c r="D71" s="7" t="s">
        <v>16</v>
      </c>
      <c r="E71" s="1">
        <v>80</v>
      </c>
      <c r="F71" s="10">
        <f t="shared" si="33"/>
        <v>5</v>
      </c>
      <c r="G71" s="6">
        <f t="shared" si="34"/>
        <v>4</v>
      </c>
    </row>
    <row r="72" spans="1:7" x14ac:dyDescent="0.45">
      <c r="A72" s="10" t="str">
        <f t="shared" si="32"/>
        <v>Webinar Registration</v>
      </c>
      <c r="B72" s="10"/>
      <c r="C72" s="6" t="s">
        <v>14</v>
      </c>
      <c r="D72" s="7" t="s">
        <v>16</v>
      </c>
      <c r="E72" s="1">
        <v>70</v>
      </c>
      <c r="F72" s="10">
        <f t="shared" si="33"/>
        <v>5</v>
      </c>
      <c r="G72" s="6">
        <f t="shared" si="34"/>
        <v>3.5</v>
      </c>
    </row>
    <row r="73" spans="1:7" x14ac:dyDescent="0.45">
      <c r="A73" s="10" t="str">
        <f t="shared" si="32"/>
        <v>Webinar Registration</v>
      </c>
      <c r="B73" s="10"/>
      <c r="C73" s="6" t="s">
        <v>11</v>
      </c>
      <c r="D73" s="7" t="s">
        <v>20</v>
      </c>
      <c r="E73" s="1">
        <v>60</v>
      </c>
      <c r="F73" s="10">
        <f t="shared" si="33"/>
        <v>5</v>
      </c>
      <c r="G73" s="6">
        <f t="shared" si="34"/>
        <v>3</v>
      </c>
    </row>
    <row r="74" spans="1:7" x14ac:dyDescent="0.45">
      <c r="A74" s="10" t="str">
        <f t="shared" si="32"/>
        <v>Webinar Registration</v>
      </c>
      <c r="B74" s="10"/>
      <c r="C74" s="6" t="s">
        <v>14</v>
      </c>
      <c r="D74" s="7" t="s">
        <v>20</v>
      </c>
      <c r="E74" s="1">
        <v>50</v>
      </c>
      <c r="F74" s="10">
        <f t="shared" si="33"/>
        <v>5</v>
      </c>
      <c r="G74" s="6">
        <f t="shared" si="34"/>
        <v>2.5</v>
      </c>
    </row>
    <row r="75" spans="1:7" x14ac:dyDescent="0.45">
      <c r="A75" s="10" t="s">
        <v>62</v>
      </c>
      <c r="B75" s="10" t="s">
        <v>62</v>
      </c>
      <c r="C75" s="6" t="s">
        <v>11</v>
      </c>
      <c r="D75" s="7" t="s">
        <v>12</v>
      </c>
      <c r="E75" s="1">
        <v>100</v>
      </c>
      <c r="F75" s="10">
        <v>15</v>
      </c>
      <c r="G75" s="6">
        <f>(E75/100) * $F$75</f>
        <v>15</v>
      </c>
    </row>
    <row r="76" spans="1:7" x14ac:dyDescent="0.45">
      <c r="A76" s="10" t="str">
        <f t="shared" ref="A76:A80" si="35">A75</f>
        <v>Webinar Attendance</v>
      </c>
      <c r="B76" s="10"/>
      <c r="C76" s="6" t="s">
        <v>14</v>
      </c>
      <c r="D76" s="7" t="s">
        <v>12</v>
      </c>
      <c r="E76" s="1">
        <v>90</v>
      </c>
      <c r="F76" s="10">
        <f t="shared" si="33"/>
        <v>15</v>
      </c>
      <c r="G76" s="6">
        <f t="shared" ref="G76:G80" si="36">(E76/100) * $F$75</f>
        <v>13.5</v>
      </c>
    </row>
    <row r="77" spans="1:7" x14ac:dyDescent="0.45">
      <c r="A77" s="10" t="str">
        <f t="shared" si="35"/>
        <v>Webinar Attendance</v>
      </c>
      <c r="B77" s="10"/>
      <c r="C77" s="6" t="s">
        <v>11</v>
      </c>
      <c r="D77" s="7" t="s">
        <v>16</v>
      </c>
      <c r="E77" s="1">
        <v>80</v>
      </c>
      <c r="F77" s="10">
        <f t="shared" si="33"/>
        <v>15</v>
      </c>
      <c r="G77" s="6">
        <f t="shared" si="36"/>
        <v>12</v>
      </c>
    </row>
    <row r="78" spans="1:7" x14ac:dyDescent="0.45">
      <c r="A78" s="10" t="str">
        <f t="shared" si="35"/>
        <v>Webinar Attendance</v>
      </c>
      <c r="B78" s="10"/>
      <c r="C78" s="6" t="s">
        <v>14</v>
      </c>
      <c r="D78" s="7" t="s">
        <v>16</v>
      </c>
      <c r="E78" s="1">
        <v>70</v>
      </c>
      <c r="F78" s="10">
        <f t="shared" si="33"/>
        <v>15</v>
      </c>
      <c r="G78" s="6">
        <f t="shared" si="36"/>
        <v>10.5</v>
      </c>
    </row>
    <row r="79" spans="1:7" x14ac:dyDescent="0.45">
      <c r="A79" s="10" t="str">
        <f t="shared" si="35"/>
        <v>Webinar Attendance</v>
      </c>
      <c r="B79" s="10"/>
      <c r="C79" s="6" t="s">
        <v>11</v>
      </c>
      <c r="D79" s="7" t="s">
        <v>20</v>
      </c>
      <c r="E79" s="1">
        <v>60</v>
      </c>
      <c r="F79" s="10">
        <f t="shared" si="33"/>
        <v>15</v>
      </c>
      <c r="G79" s="6">
        <f t="shared" si="36"/>
        <v>9</v>
      </c>
    </row>
    <row r="80" spans="1:7" x14ac:dyDescent="0.45">
      <c r="A80" s="10" t="str">
        <f t="shared" si="35"/>
        <v>Webinar Attendance</v>
      </c>
      <c r="B80" s="10"/>
      <c r="C80" s="6" t="s">
        <v>14</v>
      </c>
      <c r="D80" s="7" t="s">
        <v>20</v>
      </c>
      <c r="E80" s="1">
        <v>50</v>
      </c>
      <c r="F80" s="10">
        <f t="shared" si="33"/>
        <v>15</v>
      </c>
      <c r="G80" s="6">
        <f t="shared" si="36"/>
        <v>7.5</v>
      </c>
    </row>
  </sheetData>
  <autoFilter ref="A1:S80" xr:uid="{40CD0AB6-258C-47A8-AF95-DB8FF7C95BE4}"/>
  <mergeCells count="38">
    <mergeCell ref="F2:F7"/>
    <mergeCell ref="F8:F13"/>
    <mergeCell ref="F26:F32"/>
    <mergeCell ref="F33:F38"/>
    <mergeCell ref="F39:F44"/>
    <mergeCell ref="F45:F50"/>
    <mergeCell ref="F51:F56"/>
    <mergeCell ref="F57:F62"/>
    <mergeCell ref="F63:F68"/>
    <mergeCell ref="F69:F74"/>
    <mergeCell ref="A69:A74"/>
    <mergeCell ref="B69:B74"/>
    <mergeCell ref="A75:A80"/>
    <mergeCell ref="B75:B80"/>
    <mergeCell ref="F75:F80"/>
    <mergeCell ref="A57:A62"/>
    <mergeCell ref="B57:B62"/>
    <mergeCell ref="A63:A68"/>
    <mergeCell ref="B63:B68"/>
    <mergeCell ref="A45:A50"/>
    <mergeCell ref="B45:B50"/>
    <mergeCell ref="A51:A56"/>
    <mergeCell ref="B51:B56"/>
    <mergeCell ref="A33:A38"/>
    <mergeCell ref="B33:B38"/>
    <mergeCell ref="A39:A44"/>
    <mergeCell ref="B39:B44"/>
    <mergeCell ref="F14:F19"/>
    <mergeCell ref="A20:A25"/>
    <mergeCell ref="B20:B25"/>
    <mergeCell ref="F20:F25"/>
    <mergeCell ref="A26:A32"/>
    <mergeCell ref="A2:A7"/>
    <mergeCell ref="B2:B7"/>
    <mergeCell ref="A8:A13"/>
    <mergeCell ref="B8:B13"/>
    <mergeCell ref="A14:A19"/>
    <mergeCell ref="B14:B19"/>
  </mergeCells>
  <pageMargins left="0.7" right="0.7" top="0.75" bottom="0.75" header="0.3" footer="0.3"/>
  <headerFooter>
    <oddFooter>&amp;R_x000D_&amp;1#&amp;"Aptos"&amp;8&amp;K000000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4E40-2848-4913-85FC-4F37E91AF214}">
  <dimension ref="A1:E36"/>
  <sheetViews>
    <sheetView workbookViewId="0">
      <selection activeCell="D1" sqref="D1"/>
    </sheetView>
  </sheetViews>
  <sheetFormatPr defaultRowHeight="14.25" x14ac:dyDescent="0.45"/>
  <cols>
    <col min="1" max="1" width="16.6640625" bestFit="1" customWidth="1"/>
    <col min="2" max="2" width="17.86328125" bestFit="1" customWidth="1"/>
    <col min="4" max="4" width="12.796875" bestFit="1" customWidth="1"/>
  </cols>
  <sheetData>
    <row r="1" spans="1:5" x14ac:dyDescent="0.45">
      <c r="A1" t="s">
        <v>0</v>
      </c>
      <c r="B1" t="s">
        <v>63</v>
      </c>
      <c r="C1" t="s">
        <v>1</v>
      </c>
      <c r="D1" t="s">
        <v>2</v>
      </c>
      <c r="E1" t="s">
        <v>3</v>
      </c>
    </row>
    <row r="2" spans="1:5" x14ac:dyDescent="0.45">
      <c r="A2" t="s">
        <v>8</v>
      </c>
      <c r="B2" t="s">
        <v>9</v>
      </c>
      <c r="C2">
        <v>100</v>
      </c>
      <c r="D2">
        <v>25</v>
      </c>
      <c r="E2">
        <f>(C2/100)*$D$2</f>
        <v>25</v>
      </c>
    </row>
    <row r="3" spans="1:5" x14ac:dyDescent="0.45">
      <c r="B3" t="s">
        <v>13</v>
      </c>
      <c r="C3">
        <v>75</v>
      </c>
      <c r="E3">
        <f t="shared" ref="E3:E10" si="0">(C3/100)*$D$2</f>
        <v>18.75</v>
      </c>
    </row>
    <row r="4" spans="1:5" x14ac:dyDescent="0.45">
      <c r="B4" t="s">
        <v>15</v>
      </c>
      <c r="C4">
        <v>50</v>
      </c>
      <c r="E4">
        <f t="shared" si="0"/>
        <v>12.5</v>
      </c>
    </row>
    <row r="5" spans="1:5" x14ac:dyDescent="0.45">
      <c r="B5" t="s">
        <v>17</v>
      </c>
      <c r="C5">
        <v>25</v>
      </c>
      <c r="E5">
        <f t="shared" si="0"/>
        <v>6.25</v>
      </c>
    </row>
    <row r="6" spans="1:5" x14ac:dyDescent="0.45">
      <c r="A6" t="s">
        <v>18</v>
      </c>
      <c r="B6" t="s">
        <v>19</v>
      </c>
      <c r="C6">
        <v>75</v>
      </c>
      <c r="D6">
        <v>25</v>
      </c>
      <c r="E6">
        <f>(C6/100)*$D$6</f>
        <v>18.75</v>
      </c>
    </row>
    <row r="7" spans="1:5" x14ac:dyDescent="0.45">
      <c r="B7" t="s">
        <v>21</v>
      </c>
      <c r="C7">
        <v>25</v>
      </c>
      <c r="E7">
        <f t="shared" ref="E7:E16" si="1">(C7/100)*$D$6</f>
        <v>6.25</v>
      </c>
    </row>
    <row r="8" spans="1:5" x14ac:dyDescent="0.45">
      <c r="B8" t="s">
        <v>22</v>
      </c>
      <c r="C8">
        <v>25</v>
      </c>
      <c r="E8">
        <f t="shared" si="1"/>
        <v>6.25</v>
      </c>
    </row>
    <row r="9" spans="1:5" x14ac:dyDescent="0.45">
      <c r="B9" t="s">
        <v>25</v>
      </c>
      <c r="C9">
        <v>25</v>
      </c>
      <c r="E9">
        <f t="shared" si="1"/>
        <v>6.25</v>
      </c>
    </row>
    <row r="10" spans="1:5" x14ac:dyDescent="0.45">
      <c r="B10" t="s">
        <v>26</v>
      </c>
      <c r="C10">
        <v>75</v>
      </c>
      <c r="E10">
        <f t="shared" si="1"/>
        <v>18.75</v>
      </c>
    </row>
    <row r="11" spans="1:5" x14ac:dyDescent="0.45">
      <c r="A11" t="s">
        <v>27</v>
      </c>
      <c r="B11" t="s">
        <v>45</v>
      </c>
      <c r="C11">
        <v>10</v>
      </c>
      <c r="D11">
        <v>25</v>
      </c>
      <c r="E11">
        <f>(C11/100)*$D$11</f>
        <v>2.5</v>
      </c>
    </row>
    <row r="12" spans="1:5" x14ac:dyDescent="0.45">
      <c r="B12" t="s">
        <v>52</v>
      </c>
      <c r="C12">
        <v>5</v>
      </c>
      <c r="E12">
        <f t="shared" ref="E12:E36" si="2">(C12/100)*$D$11</f>
        <v>1.25</v>
      </c>
    </row>
    <row r="13" spans="1:5" x14ac:dyDescent="0.45">
      <c r="B13" t="s">
        <v>64</v>
      </c>
      <c r="C13">
        <v>70</v>
      </c>
      <c r="E13">
        <f t="shared" si="2"/>
        <v>17.5</v>
      </c>
    </row>
    <row r="14" spans="1:5" x14ac:dyDescent="0.45">
      <c r="B14" t="s">
        <v>29</v>
      </c>
      <c r="C14">
        <v>70</v>
      </c>
      <c r="E14">
        <f t="shared" si="2"/>
        <v>17.5</v>
      </c>
    </row>
    <row r="15" spans="1:5" x14ac:dyDescent="0.45">
      <c r="B15" t="s">
        <v>65</v>
      </c>
      <c r="C15">
        <v>70</v>
      </c>
      <c r="E15">
        <f t="shared" si="2"/>
        <v>17.5</v>
      </c>
    </row>
    <row r="16" spans="1:5" x14ac:dyDescent="0.45">
      <c r="B16" t="s">
        <v>30</v>
      </c>
      <c r="C16">
        <v>25</v>
      </c>
      <c r="E16">
        <f t="shared" si="2"/>
        <v>6.25</v>
      </c>
    </row>
    <row r="17" spans="2:5" x14ac:dyDescent="0.45">
      <c r="B17" t="s">
        <v>33</v>
      </c>
      <c r="C17">
        <v>25</v>
      </c>
      <c r="E17">
        <f t="shared" si="2"/>
        <v>6.25</v>
      </c>
    </row>
    <row r="18" spans="2:5" x14ac:dyDescent="0.45">
      <c r="B18" t="s">
        <v>34</v>
      </c>
      <c r="C18">
        <v>25</v>
      </c>
      <c r="E18">
        <f t="shared" si="2"/>
        <v>6.25</v>
      </c>
    </row>
    <row r="19" spans="2:5" x14ac:dyDescent="0.45">
      <c r="B19" t="s">
        <v>35</v>
      </c>
      <c r="C19">
        <v>25</v>
      </c>
      <c r="E19">
        <f t="shared" si="2"/>
        <v>6.25</v>
      </c>
    </row>
    <row r="20" spans="2:5" x14ac:dyDescent="0.45">
      <c r="B20" t="s">
        <v>36</v>
      </c>
      <c r="C20">
        <v>25</v>
      </c>
      <c r="E20">
        <f t="shared" si="2"/>
        <v>6.25</v>
      </c>
    </row>
    <row r="21" spans="2:5" x14ac:dyDescent="0.45">
      <c r="B21" t="s">
        <v>66</v>
      </c>
      <c r="C21">
        <v>25</v>
      </c>
      <c r="E21">
        <f t="shared" si="2"/>
        <v>6.25</v>
      </c>
    </row>
    <row r="22" spans="2:5" x14ac:dyDescent="0.45">
      <c r="B22" t="s">
        <v>38</v>
      </c>
      <c r="C22">
        <v>25</v>
      </c>
      <c r="E22">
        <f t="shared" si="2"/>
        <v>6.25</v>
      </c>
    </row>
    <row r="23" spans="2:5" x14ac:dyDescent="0.45">
      <c r="B23" t="s">
        <v>39</v>
      </c>
      <c r="C23">
        <v>25</v>
      </c>
      <c r="E23">
        <f t="shared" si="2"/>
        <v>6.25</v>
      </c>
    </row>
    <row r="24" spans="2:5" x14ac:dyDescent="0.45">
      <c r="B24" t="s">
        <v>40</v>
      </c>
      <c r="C24">
        <v>25</v>
      </c>
      <c r="E24">
        <f t="shared" si="2"/>
        <v>6.25</v>
      </c>
    </row>
    <row r="25" spans="2:5" x14ac:dyDescent="0.45">
      <c r="B25" t="s">
        <v>41</v>
      </c>
      <c r="C25">
        <v>25</v>
      </c>
      <c r="E25">
        <f t="shared" si="2"/>
        <v>6.25</v>
      </c>
    </row>
    <row r="26" spans="2:5" x14ac:dyDescent="0.45">
      <c r="B26" t="s">
        <v>42</v>
      </c>
      <c r="C26">
        <v>25</v>
      </c>
      <c r="E26">
        <f t="shared" si="2"/>
        <v>6.25</v>
      </c>
    </row>
    <row r="27" spans="2:5" x14ac:dyDescent="0.45">
      <c r="B27" t="s">
        <v>68</v>
      </c>
      <c r="C27">
        <v>25</v>
      </c>
      <c r="E27">
        <f t="shared" si="2"/>
        <v>6.25</v>
      </c>
    </row>
    <row r="28" spans="2:5" x14ac:dyDescent="0.45">
      <c r="B28" t="s">
        <v>43</v>
      </c>
      <c r="C28">
        <v>25</v>
      </c>
      <c r="E28">
        <f t="shared" si="2"/>
        <v>6.25</v>
      </c>
    </row>
    <row r="29" spans="2:5" x14ac:dyDescent="0.45">
      <c r="B29" t="s">
        <v>46</v>
      </c>
      <c r="C29">
        <v>25</v>
      </c>
      <c r="E29">
        <f t="shared" si="2"/>
        <v>6.25</v>
      </c>
    </row>
    <row r="30" spans="2:5" x14ac:dyDescent="0.45">
      <c r="B30" t="s">
        <v>47</v>
      </c>
      <c r="C30">
        <v>25</v>
      </c>
      <c r="E30">
        <f t="shared" si="2"/>
        <v>6.25</v>
      </c>
    </row>
    <row r="31" spans="2:5" x14ac:dyDescent="0.45">
      <c r="B31" t="s">
        <v>67</v>
      </c>
      <c r="C31">
        <v>25</v>
      </c>
      <c r="E31">
        <f t="shared" si="2"/>
        <v>6.25</v>
      </c>
    </row>
    <row r="32" spans="2:5" x14ac:dyDescent="0.45">
      <c r="B32" t="s">
        <v>49</v>
      </c>
      <c r="C32">
        <v>25</v>
      </c>
      <c r="E32">
        <f t="shared" si="2"/>
        <v>6.25</v>
      </c>
    </row>
    <row r="33" spans="1:5" x14ac:dyDescent="0.45">
      <c r="B33" t="s">
        <v>50</v>
      </c>
      <c r="C33">
        <v>25</v>
      </c>
      <c r="E33">
        <f t="shared" si="2"/>
        <v>6.25</v>
      </c>
    </row>
    <row r="34" spans="1:5" x14ac:dyDescent="0.45">
      <c r="B34" t="s">
        <v>51</v>
      </c>
      <c r="C34">
        <v>25</v>
      </c>
      <c r="E34">
        <f t="shared" si="2"/>
        <v>6.25</v>
      </c>
    </row>
    <row r="35" spans="1:5" x14ac:dyDescent="0.45">
      <c r="A35" t="s">
        <v>53</v>
      </c>
      <c r="B35" t="s">
        <v>54</v>
      </c>
      <c r="C35">
        <v>100</v>
      </c>
      <c r="D35">
        <v>25</v>
      </c>
      <c r="E35">
        <f>(C35/100)*$D$35</f>
        <v>25</v>
      </c>
    </row>
    <row r="36" spans="1:5" x14ac:dyDescent="0.45">
      <c r="B36" t="s">
        <v>55</v>
      </c>
      <c r="C36">
        <v>5</v>
      </c>
      <c r="E36">
        <f>(C36/100)*$D$35</f>
        <v>1.25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415A1E8B238643BAAB9DBE3C5D2201" ma:contentTypeVersion="7" ma:contentTypeDescription="Create a new document." ma:contentTypeScope="" ma:versionID="2e2913fc67a18d6f540d7e7ec9cd23cb">
  <xsd:schema xmlns:xsd="http://www.w3.org/2001/XMLSchema" xmlns:xs="http://www.w3.org/2001/XMLSchema" xmlns:p="http://schemas.microsoft.com/office/2006/metadata/properties" xmlns:ns2="bad10fe0-4ff5-44c6-821c-7f640d6cd953" xmlns:ns3="5f29cece-68c6-48b1-ac1f-75f4e98fc1a0" targetNamespace="http://schemas.microsoft.com/office/2006/metadata/properties" ma:root="true" ma:fieldsID="c4a9e44b2686679614d36047f4b5a0b2" ns2:_="" ns3:_="">
    <xsd:import namespace="bad10fe0-4ff5-44c6-821c-7f640d6cd953"/>
    <xsd:import namespace="5f29cece-68c6-48b1-ac1f-75f4e98fc1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d10fe0-4ff5-44c6-821c-7f640d6cd9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9cece-68c6-48b1-ac1f-75f4e98fc1a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E6241E-3D18-4B66-BE13-A405464B218C}">
  <ds:schemaRefs>
    <ds:schemaRef ds:uri="http://schemas.microsoft.com/office/2006/documentManagement/types"/>
    <ds:schemaRef ds:uri="bad10fe0-4ff5-44c6-821c-7f640d6cd953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5f29cece-68c6-48b1-ac1f-75f4e98fc1a0"/>
  </ds:schemaRefs>
</ds:datastoreItem>
</file>

<file path=customXml/itemProps2.xml><?xml version="1.0" encoding="utf-8"?>
<ds:datastoreItem xmlns:ds="http://schemas.openxmlformats.org/officeDocument/2006/customXml" ds:itemID="{E14E806D-DD84-4549-8BE1-29718A202D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d10fe0-4ff5-44c6-821c-7f640d6cd953"/>
    <ds:schemaRef ds:uri="5f29cece-68c6-48b1-ac1f-75f4e98fc1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D475F6-335D-48D1-BB05-631A96E9FE0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Engagement</vt:lpstr>
      <vt:lpstr>Profile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Chenery (achenery)</dc:creator>
  <cp:keywords/>
  <dc:description/>
  <cp:lastModifiedBy>Amanda Chenery (achenery)</cp:lastModifiedBy>
  <cp:revision/>
  <dcterms:created xsi:type="dcterms:W3CDTF">2026-07-01T14:13:27Z</dcterms:created>
  <dcterms:modified xsi:type="dcterms:W3CDTF">2026-08-04T10:10:22Z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0x0101003D415A1E8B238643BAAB9DBE3C5D2201</vt:lpwstr>
  </property>
</Properties>
</file>